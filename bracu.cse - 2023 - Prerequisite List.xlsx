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" sheetId="1" r:id="rId5"/>
    <sheet state="visible" name="CS" sheetId="2" r:id="rId6"/>
  </sheets>
  <definedNames/>
  <calcPr/>
</workbook>
</file>

<file path=xl/sharedStrings.xml><?xml version="1.0" encoding="utf-8"?>
<sst xmlns="http://schemas.openxmlformats.org/spreadsheetml/2006/main" count="15" uniqueCount="12">
  <si>
    <r>
      <rPr>
        <b/>
        <sz val="30.0"/>
      </rPr>
      <t xml:space="preserve">For Program: CSE
</t>
    </r>
    <r>
      <rPr>
        <color rgb="FF1155CC"/>
        <sz val="10.0"/>
        <u/>
      </rPr>
      <t>Click here</t>
    </r>
    <r>
      <rPr>
        <sz val="10.0"/>
      </rPr>
      <t xml:space="preserve"> to view CS</t>
    </r>
  </si>
  <si>
    <r>
      <rPr>
        <rFont val="Arial"/>
        <b/>
        <color theme="1"/>
      </rPr>
      <t xml:space="preserve">HP - Hard Prequisite: </t>
    </r>
    <r>
      <rPr>
        <rFont val="Arial"/>
        <color theme="1"/>
      </rPr>
      <t xml:space="preserve">Must complete this prerequisite before doing current course
</t>
    </r>
    <r>
      <rPr>
        <rFont val="Arial"/>
        <b/>
        <color theme="1"/>
      </rPr>
      <t xml:space="preserve">SP - Soft Prerequisite: </t>
    </r>
    <r>
      <rPr>
        <rFont val="Arial"/>
        <color theme="1"/>
      </rPr>
      <t>It's suggested/recommended you complete this course before taking current course. However, you can choose to not do this prequisite. Up to you</t>
    </r>
  </si>
  <si>
    <t>Course</t>
  </si>
  <si>
    <t>Pre-Requisite</t>
  </si>
  <si>
    <t>Full Chain Pre-Requisite</t>
  </si>
  <si>
    <t>('CSE230', 'CSE220'),</t>
  </si>
  <si>
    <t>(' CSE34', 'CSE341'),</t>
  </si>
  <si>
    <t>('CSE331', 'CSE420'),</t>
  </si>
  <si>
    <t>('CSE340', 'CSE420'),</t>
  </si>
  <si>
    <t>('CSE321', 'CSE341'),</t>
  </si>
  <si>
    <r>
      <rPr>
        <b/>
        <sz val="30.0"/>
      </rPr>
      <t xml:space="preserve">For Program: CS
</t>
    </r>
    <r>
      <rPr>
        <color rgb="FF1155CC"/>
        <sz val="10.0"/>
        <u/>
      </rPr>
      <t>Click here</t>
    </r>
    <r>
      <rPr>
        <sz val="10.0"/>
      </rPr>
      <t xml:space="preserve"> to view CSE</t>
    </r>
  </si>
  <si>
    <r>
      <rPr>
        <rFont val="Arial"/>
        <b/>
        <color theme="1"/>
      </rPr>
      <t xml:space="preserve">HP - Hard Prequisite: </t>
    </r>
    <r>
      <rPr>
        <rFont val="Arial"/>
        <color theme="1"/>
      </rPr>
      <t xml:space="preserve">Must complete this prerequisite before doing current course
</t>
    </r>
    <r>
      <rPr>
        <rFont val="Arial"/>
        <b/>
        <color theme="1"/>
      </rPr>
      <t xml:space="preserve">SP - Soft Prerequisite: </t>
    </r>
    <r>
      <rPr>
        <rFont val="Arial"/>
        <color theme="1"/>
      </rPr>
      <t>It's suggested/recommended you complete this course before taking current course. However, you can choose to not do this prequisite. Up to you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</si>
</sst>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sz val="30.0"/>
      <color rgb="FF0000FF"/>
    </font>
    <font>
      <sz val="3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3" pivot="0" name="CSE-style">
      <tableStyleElement dxfId="1" type="headerRow"/>
      <tableStyleElement dxfId="2" type="firstRowStripe"/>
      <tableStyleElement dxfId="3" type="secondRowStripe"/>
    </tableStyle>
    <tableStyle count="3" pivot="0" name="C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50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3:C29" displayName="Table_2" name="Table_2" id="2">
  <tableColumns count="3">
    <tableColumn name="Course" id="1"/>
    <tableColumn name="Pre-Requisite" id="2"/>
    <tableColumn name="Full Chain Pre-Requisite" id="3"/>
  </tableColumns>
  <tableStyleInfo name="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32.13"/>
    <col customWidth="1" min="3" max="4" width="33.88"/>
    <col customWidth="1" hidden="1" min="5" max="16" width="33.88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>
      <c r="A3" s="4" t="s">
        <v>2</v>
      </c>
      <c r="B3" s="4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>
      <c r="A4" s="6" t="str">
        <f>IFERROR(__xludf.DUMMYFUNCTION("QUERY(IMPORTRANGE(""https://docs.google.com/spreadsheets/d/1YzJFTHL2U2BrsJhQB2C2RTjDJnKiE8VtPxLvUUQCofA/edit#gid=0"",""PreReqMeta!A3:E""),""SELECT Col1, Col4, Col5 WHERE Col4 IS NOT NULL"",0)"),"CSE111")</f>
        <v>CSE111</v>
      </c>
      <c r="B4" s="7" t="str">
        <f>IFERROR(__xludf.DUMMYFUNCTION("""COMPUTED_VALUE"""),"CSE110 (HP)")</f>
        <v>CSE110 (HP)</v>
      </c>
      <c r="C4" s="8"/>
      <c r="D4" s="8" t="str">
        <f>IFERROR(__xludf.DUMMYFUNCTION("ArrayFormula(SPLIT(B4:B50,"",""))"),"CSE110 (HP)")</f>
        <v>CSE110 (HP)</v>
      </c>
      <c r="E4" s="8"/>
      <c r="F4" s="8"/>
      <c r="G4" s="8" t="str">
        <f t="shared" ref="G4:G37" si="1">"('"&amp;LEFT(D4,6)&amp;"', '"&amp;A4&amp;"'),"</f>
        <v>('CSE110', 'CSE111'),</v>
      </c>
      <c r="H4" s="8"/>
      <c r="I4" s="8"/>
      <c r="J4" s="8"/>
      <c r="K4" s="8"/>
      <c r="L4" s="8"/>
      <c r="M4" s="8"/>
      <c r="N4" s="8"/>
      <c r="O4" s="8"/>
      <c r="P4" s="8"/>
    </row>
    <row r="5">
      <c r="A5" s="6" t="str">
        <f>IFERROR(__xludf.DUMMYFUNCTION("""COMPUTED_VALUE"""),"CSE220")</f>
        <v>CSE220</v>
      </c>
      <c r="B5" s="7" t="str">
        <f>IFERROR(__xludf.DUMMYFUNCTION("""COMPUTED_VALUE"""),"CSE111 (HP),CSE230 (HP)")</f>
        <v>CSE111 (HP),CSE230 (HP)</v>
      </c>
      <c r="C5" s="8" t="str">
        <f>IFERROR(__xludf.DUMMYFUNCTION("""COMPUTED_VALUE"""),"CSE230-CSE111-CSE110")</f>
        <v>CSE230-CSE111-CSE110</v>
      </c>
      <c r="D5" s="8" t="str">
        <f>IFERROR(__xludf.DUMMYFUNCTION("""COMPUTED_VALUE"""),"CSE111 (HP)")</f>
        <v>CSE111 (HP)</v>
      </c>
      <c r="E5" s="8" t="str">
        <f>IFERROR(__xludf.DUMMYFUNCTION("""COMPUTED_VALUE"""),"CSE230 (HP)")</f>
        <v>CSE230 (HP)</v>
      </c>
      <c r="F5" s="8"/>
      <c r="G5" s="8" t="str">
        <f t="shared" si="1"/>
        <v>('CSE111', 'CSE220'),</v>
      </c>
      <c r="H5" s="8" t="str">
        <f>"('"&amp;LEFT(E5,6)&amp;"', '"&amp;A5&amp;"'),"</f>
        <v>('CSE230', 'CSE220'),</v>
      </c>
      <c r="I5" s="8"/>
      <c r="J5" s="8"/>
      <c r="K5" s="8"/>
      <c r="L5" s="8"/>
      <c r="M5" s="8"/>
      <c r="N5" s="8"/>
      <c r="O5" s="8"/>
      <c r="P5" s="8"/>
    </row>
    <row r="6">
      <c r="A6" s="6" t="str">
        <f>IFERROR(__xludf.DUMMYFUNCTION("""COMPUTED_VALUE"""),"CSE221")</f>
        <v>CSE221</v>
      </c>
      <c r="B6" s="7" t="str">
        <f>IFERROR(__xludf.DUMMYFUNCTION("""COMPUTED_VALUE"""),"CSE220 (HP)")</f>
        <v>CSE220 (HP)</v>
      </c>
      <c r="C6" s="8" t="str">
        <f>IFERROR(__xludf.DUMMYFUNCTION("""COMPUTED_VALUE"""),"CSE220-CSE111-CSE110")</f>
        <v>CSE220-CSE111-CSE110</v>
      </c>
      <c r="D6" s="8" t="str">
        <f>IFERROR(__xludf.DUMMYFUNCTION("""COMPUTED_VALUE"""),"CSE220 (HP)")</f>
        <v>CSE220 (HP)</v>
      </c>
      <c r="E6" s="8"/>
      <c r="F6" s="8"/>
      <c r="G6" s="8" t="str">
        <f t="shared" si="1"/>
        <v>('CSE220', 'CSE221'),</v>
      </c>
      <c r="H6" s="8"/>
      <c r="I6" s="8"/>
      <c r="J6" s="8"/>
      <c r="K6" s="8"/>
      <c r="L6" s="8"/>
      <c r="M6" s="8"/>
      <c r="N6" s="8"/>
      <c r="O6" s="8"/>
      <c r="P6" s="8"/>
    </row>
    <row r="7">
      <c r="A7" s="6" t="str">
        <f>IFERROR(__xludf.DUMMYFUNCTION("""COMPUTED_VALUE"""),"CSE250")</f>
        <v>CSE250</v>
      </c>
      <c r="B7" s="7" t="str">
        <f>IFERROR(__xludf.DUMMYFUNCTION("""COMPUTED_VALUE"""),"PHY112 (SP)")</f>
        <v>PHY112 (SP)</v>
      </c>
      <c r="C7" s="8"/>
      <c r="D7" s="8" t="str">
        <f>IFERROR(__xludf.DUMMYFUNCTION("""COMPUTED_VALUE"""),"PHY112 (SP)")</f>
        <v>PHY112 (SP)</v>
      </c>
      <c r="E7" s="8"/>
      <c r="F7" s="8"/>
      <c r="G7" s="8" t="str">
        <f t="shared" si="1"/>
        <v>('PHY112', 'CSE250'),</v>
      </c>
      <c r="H7" s="8"/>
      <c r="I7" s="8"/>
      <c r="J7" s="8"/>
      <c r="K7" s="8"/>
      <c r="L7" s="8"/>
      <c r="M7" s="8"/>
      <c r="N7" s="8"/>
      <c r="O7" s="8"/>
      <c r="P7" s="8"/>
    </row>
    <row r="8">
      <c r="A8" s="6" t="str">
        <f>IFERROR(__xludf.DUMMYFUNCTION("""COMPUTED_VALUE"""),"CSE251")</f>
        <v>CSE251</v>
      </c>
      <c r="B8" s="7" t="str">
        <f>IFERROR(__xludf.DUMMYFUNCTION("""COMPUTED_VALUE"""),"CSE250 (HP)")</f>
        <v>CSE250 (HP)</v>
      </c>
      <c r="C8" s="8" t="str">
        <f>IFERROR(__xludf.DUMMYFUNCTION("""COMPUTED_VALUE"""),"CSE250")</f>
        <v>CSE250</v>
      </c>
      <c r="D8" s="8" t="str">
        <f>IFERROR(__xludf.DUMMYFUNCTION("""COMPUTED_VALUE"""),"CSE250 (HP)")</f>
        <v>CSE250 (HP)</v>
      </c>
      <c r="E8" s="8"/>
      <c r="F8" s="8"/>
      <c r="G8" s="8" t="str">
        <f t="shared" si="1"/>
        <v>('CSE250', 'CSE251'),</v>
      </c>
      <c r="H8" s="8"/>
      <c r="I8" s="8"/>
      <c r="J8" s="8"/>
      <c r="K8" s="8"/>
      <c r="L8" s="8"/>
      <c r="M8" s="8"/>
      <c r="N8" s="8"/>
      <c r="O8" s="8"/>
      <c r="P8" s="8"/>
    </row>
    <row r="9">
      <c r="A9" s="6" t="str">
        <f>IFERROR(__xludf.DUMMYFUNCTION("""COMPUTED_VALUE"""),"CSE260")</f>
        <v>CSE260</v>
      </c>
      <c r="B9" s="7" t="str">
        <f>IFERROR(__xludf.DUMMYFUNCTION("""COMPUTED_VALUE"""),"CSE251 (HP)")</f>
        <v>CSE251 (HP)</v>
      </c>
      <c r="C9" s="8" t="str">
        <f>IFERROR(__xludf.DUMMYFUNCTION("""COMPUTED_VALUE"""),"CSE251-CSE250")</f>
        <v>CSE251-CSE250</v>
      </c>
      <c r="D9" s="8" t="str">
        <f>IFERROR(__xludf.DUMMYFUNCTION("""COMPUTED_VALUE"""),"CSE251 (HP)")</f>
        <v>CSE251 (HP)</v>
      </c>
      <c r="E9" s="8"/>
      <c r="F9" s="8"/>
      <c r="G9" s="8" t="str">
        <f t="shared" si="1"/>
        <v>('CSE251', 'CSE260'),</v>
      </c>
      <c r="H9" s="8"/>
      <c r="I9" s="8"/>
      <c r="J9" s="8"/>
      <c r="K9" s="8"/>
      <c r="L9" s="8"/>
      <c r="M9" s="8"/>
      <c r="N9" s="8"/>
      <c r="O9" s="8"/>
      <c r="P9" s="8"/>
    </row>
    <row r="10">
      <c r="A10" s="6" t="str">
        <f>IFERROR(__xludf.DUMMYFUNCTION("""COMPUTED_VALUE"""),"CSE310")</f>
        <v>CSE310</v>
      </c>
      <c r="B10" s="7" t="str">
        <f>IFERROR(__xludf.DUMMYFUNCTION("""COMPUTED_VALUE"""),"CSE370 (HP)")</f>
        <v>CSE370 (HP)</v>
      </c>
      <c r="C10" s="8" t="str">
        <f>IFERROR(__xludf.DUMMYFUNCTION("""COMPUTED_VALUE"""),"CSE370-CSE221-CSE220-CSE111-CSE110")</f>
        <v>CSE370-CSE221-CSE220-CSE111-CSE110</v>
      </c>
      <c r="D10" s="8" t="str">
        <f>IFERROR(__xludf.DUMMYFUNCTION("""COMPUTED_VALUE"""),"CSE370 (HP)")</f>
        <v>CSE370 (HP)</v>
      </c>
      <c r="E10" s="8"/>
      <c r="F10" s="8"/>
      <c r="G10" s="8" t="str">
        <f t="shared" si="1"/>
        <v>('CSE370', 'CSE310'),</v>
      </c>
      <c r="H10" s="8"/>
      <c r="I10" s="8"/>
      <c r="J10" s="8"/>
      <c r="K10" s="8"/>
      <c r="L10" s="8"/>
      <c r="M10" s="8"/>
      <c r="N10" s="8"/>
      <c r="O10" s="8"/>
      <c r="P10" s="8"/>
    </row>
    <row r="11">
      <c r="A11" s="6" t="str">
        <f>IFERROR(__xludf.DUMMYFUNCTION("""COMPUTED_VALUE"""),"CSE321")</f>
        <v>CSE321</v>
      </c>
      <c r="B11" s="7" t="str">
        <f>IFERROR(__xludf.DUMMYFUNCTION("""COMPUTED_VALUE"""),"CSE221 (HP)")</f>
        <v>CSE221 (HP)</v>
      </c>
      <c r="C11" s="8" t="str">
        <f>IFERROR(__xludf.DUMMYFUNCTION("""COMPUTED_VALUE"""),"CSE221-CSE220-CSE111-CSE110")</f>
        <v>CSE221-CSE220-CSE111-CSE110</v>
      </c>
      <c r="D11" s="8" t="str">
        <f>IFERROR(__xludf.DUMMYFUNCTION("""COMPUTED_VALUE"""),"CSE221 (HP)")</f>
        <v>CSE221 (HP)</v>
      </c>
      <c r="E11" s="8"/>
      <c r="F11" s="8"/>
      <c r="G11" s="8" t="str">
        <f t="shared" si="1"/>
        <v>('CSE221', 'CSE321'),</v>
      </c>
      <c r="H11" s="8"/>
      <c r="I11" s="8"/>
      <c r="J11" s="8"/>
      <c r="K11" s="8"/>
      <c r="L11" s="8"/>
      <c r="M11" s="8"/>
      <c r="N11" s="8"/>
      <c r="O11" s="8"/>
      <c r="P11" s="8"/>
    </row>
    <row r="12">
      <c r="A12" s="6" t="str">
        <f>IFERROR(__xludf.DUMMYFUNCTION("""COMPUTED_VALUE"""),"CSE330")</f>
        <v>CSE330</v>
      </c>
      <c r="B12" s="7" t="str">
        <f>IFERROR(__xludf.DUMMYFUNCTION("""COMPUTED_VALUE"""),"MAT216 (HP)")</f>
        <v>MAT216 (HP)</v>
      </c>
      <c r="C12" s="8" t="str">
        <f>IFERROR(__xludf.DUMMYFUNCTION("""COMPUTED_VALUE"""),"MAT120-MAT110")</f>
        <v>MAT120-MAT110</v>
      </c>
      <c r="D12" s="8" t="str">
        <f>IFERROR(__xludf.DUMMYFUNCTION("""COMPUTED_VALUE"""),"MAT216 (HP)")</f>
        <v>MAT216 (HP)</v>
      </c>
      <c r="E12" s="8"/>
      <c r="F12" s="8"/>
      <c r="G12" s="8" t="str">
        <f t="shared" si="1"/>
        <v>('MAT216', 'CSE330'),</v>
      </c>
      <c r="H12" s="8"/>
      <c r="I12" s="8"/>
      <c r="J12" s="8"/>
      <c r="K12" s="8"/>
      <c r="L12" s="8"/>
      <c r="M12" s="8"/>
      <c r="N12" s="8"/>
      <c r="O12" s="8"/>
      <c r="P12" s="8"/>
    </row>
    <row r="13">
      <c r="A13" s="6" t="str">
        <f>IFERROR(__xludf.DUMMYFUNCTION("""COMPUTED_VALUE"""),"CSE331")</f>
        <v>CSE331</v>
      </c>
      <c r="B13" s="7" t="str">
        <f>IFERROR(__xludf.DUMMYFUNCTION("""COMPUTED_VALUE"""),"CSE221 (HP)")</f>
        <v>CSE221 (HP)</v>
      </c>
      <c r="C13" s="8" t="str">
        <f>IFERROR(__xludf.DUMMYFUNCTION("""COMPUTED_VALUE"""),"CSE221-CSE220-CSE111-CSE110")</f>
        <v>CSE221-CSE220-CSE111-CSE110</v>
      </c>
      <c r="D13" s="8" t="str">
        <f>IFERROR(__xludf.DUMMYFUNCTION("""COMPUTED_VALUE"""),"CSE221 (HP)")</f>
        <v>CSE221 (HP)</v>
      </c>
      <c r="E13" s="8"/>
      <c r="F13" s="8"/>
      <c r="G13" s="8" t="str">
        <f t="shared" si="1"/>
        <v>('CSE221', 'CSE331'),</v>
      </c>
      <c r="H13" s="8"/>
      <c r="I13" s="8"/>
      <c r="J13" s="8"/>
      <c r="K13" s="8"/>
      <c r="L13" s="8"/>
      <c r="M13" s="8"/>
      <c r="N13" s="8"/>
      <c r="O13" s="8"/>
      <c r="P13" s="8"/>
    </row>
    <row r="14">
      <c r="A14" s="6" t="str">
        <f>IFERROR(__xludf.DUMMYFUNCTION("""COMPUTED_VALUE"""),"CSE340")</f>
        <v>CSE340</v>
      </c>
      <c r="B14" s="9" t="str">
        <f>IFERROR(__xludf.DUMMYFUNCTION("""COMPUTED_VALUE"""),"CSE260 (HP)")</f>
        <v>CSE260 (HP)</v>
      </c>
      <c r="C14" s="8" t="str">
        <f>IFERROR(__xludf.DUMMYFUNCTION("""COMPUTED_VALUE"""),"CSE260-CSE251-CSE250")</f>
        <v>CSE260-CSE251-CSE250</v>
      </c>
      <c r="D14" s="8" t="str">
        <f>IFERROR(__xludf.DUMMYFUNCTION("""COMPUTED_VALUE"""),"CSE260 (HP)")</f>
        <v>CSE260 (HP)</v>
      </c>
      <c r="E14" s="8"/>
      <c r="F14" s="8"/>
      <c r="G14" s="8" t="str">
        <f t="shared" si="1"/>
        <v>('CSE260', 'CSE340'),</v>
      </c>
      <c r="H14" s="8"/>
      <c r="I14" s="8"/>
      <c r="J14" s="8"/>
      <c r="K14" s="8"/>
      <c r="L14" s="8"/>
      <c r="M14" s="8"/>
      <c r="N14" s="8"/>
      <c r="O14" s="8"/>
      <c r="P14" s="8"/>
    </row>
    <row r="15">
      <c r="A15" s="6" t="str">
        <f>IFERROR(__xludf.DUMMYFUNCTION("""COMPUTED_VALUE"""),"CSE341")</f>
        <v>CSE341</v>
      </c>
      <c r="B15" s="7" t="str">
        <f>IFERROR(__xludf.DUMMYFUNCTION("""COMPUTED_VALUE"""),"CSE260 (HP), CSE340 (SP),CSE321 (SP)")</f>
        <v>CSE260 (HP), CSE340 (SP),CSE321 (SP)</v>
      </c>
      <c r="C15" s="8"/>
      <c r="D15" s="8" t="str">
        <f>IFERROR(__xludf.DUMMYFUNCTION("""COMPUTED_VALUE"""),"CSE260 (HP)")</f>
        <v>CSE260 (HP)</v>
      </c>
      <c r="E15" s="8" t="str">
        <f>IFERROR(__xludf.DUMMYFUNCTION("""COMPUTED_VALUE""")," CSE340 (SP)")</f>
        <v> CSE340 (SP)</v>
      </c>
      <c r="F15" s="8" t="str">
        <f>IFERROR(__xludf.DUMMYFUNCTION("""COMPUTED_VALUE"""),"CSE321 (SP)")</f>
        <v>CSE321 (SP)</v>
      </c>
      <c r="G15" s="8" t="str">
        <f t="shared" si="1"/>
        <v>('CSE260', 'CSE341'),</v>
      </c>
      <c r="H15" s="8" t="str">
        <f>"('"&amp;LEFT(E15,6)&amp;"', '"&amp;A15&amp;"'),"</f>
        <v>(' CSE34', 'CSE341'),</v>
      </c>
      <c r="I15" s="8" t="str">
        <f>"('"&amp;LEFT(F15,6)&amp;"', '"&amp;A15&amp;"'),"</f>
        <v>('CSE321', 'CSE341'),</v>
      </c>
      <c r="J15" s="8"/>
      <c r="K15" s="8"/>
      <c r="L15" s="8"/>
      <c r="M15" s="8"/>
      <c r="N15" s="8"/>
      <c r="O15" s="8"/>
      <c r="P15" s="8"/>
    </row>
    <row r="16">
      <c r="A16" s="6" t="str">
        <f>IFERROR(__xludf.DUMMYFUNCTION("""COMPUTED_VALUE"""),"CSE350")</f>
        <v>CSE350</v>
      </c>
      <c r="B16" s="7" t="str">
        <f>IFERROR(__xludf.DUMMYFUNCTION("""COMPUTED_VALUE"""),"CSE251 (HP)")</f>
        <v>CSE251 (HP)</v>
      </c>
      <c r="C16" s="8" t="str">
        <f>IFERROR(__xludf.DUMMYFUNCTION("""COMPUTED_VALUE"""),"CSE251-CSE250")</f>
        <v>CSE251-CSE250</v>
      </c>
      <c r="D16" s="8" t="str">
        <f>IFERROR(__xludf.DUMMYFUNCTION("""COMPUTED_VALUE"""),"CSE251 (HP)")</f>
        <v>CSE251 (HP)</v>
      </c>
      <c r="E16" s="8"/>
      <c r="F16" s="8"/>
      <c r="G16" s="8" t="str">
        <f t="shared" si="1"/>
        <v>('CSE251', 'CSE350'),</v>
      </c>
      <c r="H16" s="8"/>
      <c r="I16" s="8"/>
      <c r="J16" s="8"/>
      <c r="K16" s="8"/>
      <c r="L16" s="8"/>
      <c r="M16" s="8"/>
      <c r="N16" s="8"/>
      <c r="O16" s="8"/>
      <c r="P16" s="8"/>
    </row>
    <row r="17">
      <c r="A17" s="6" t="str">
        <f>IFERROR(__xludf.DUMMYFUNCTION("""COMPUTED_VALUE"""),"CSE360")</f>
        <v>CSE360</v>
      </c>
      <c r="B17" s="7" t="str">
        <f>IFERROR(__xludf.DUMMYFUNCTION("""COMPUTED_VALUE"""),"CSE341 (HP)")</f>
        <v>CSE341 (HP)</v>
      </c>
      <c r="C17" s="8" t="str">
        <f>IFERROR(__xludf.DUMMYFUNCTION("""COMPUTED_VALUE"""),"CSE341")</f>
        <v>CSE341</v>
      </c>
      <c r="D17" s="8" t="str">
        <f>IFERROR(__xludf.DUMMYFUNCTION("""COMPUTED_VALUE"""),"CSE341 (HP)")</f>
        <v>CSE341 (HP)</v>
      </c>
      <c r="E17" s="8"/>
      <c r="F17" s="8"/>
      <c r="G17" s="8" t="str">
        <f t="shared" si="1"/>
        <v>('CSE341', 'CSE360'),</v>
      </c>
      <c r="H17" s="8"/>
      <c r="I17" s="8"/>
      <c r="J17" s="8"/>
      <c r="K17" s="8"/>
      <c r="L17" s="8"/>
      <c r="M17" s="8"/>
      <c r="N17" s="8"/>
      <c r="O17" s="8"/>
      <c r="P17" s="8"/>
    </row>
    <row r="18">
      <c r="A18" s="6" t="str">
        <f>IFERROR(__xludf.DUMMYFUNCTION("""COMPUTED_VALUE"""),"CSE370")</f>
        <v>CSE370</v>
      </c>
      <c r="B18" s="7" t="str">
        <f>IFERROR(__xludf.DUMMYFUNCTION("""COMPUTED_VALUE"""),"CSE221 (HP)")</f>
        <v>CSE221 (HP)</v>
      </c>
      <c r="C18" s="8" t="str">
        <f>IFERROR(__xludf.DUMMYFUNCTION("""COMPUTED_VALUE"""),"CSE221-CSE220-CSE111-CSE110")</f>
        <v>CSE221-CSE220-CSE111-CSE110</v>
      </c>
      <c r="D18" s="8" t="str">
        <f>IFERROR(__xludf.DUMMYFUNCTION("""COMPUTED_VALUE"""),"CSE221 (HP)")</f>
        <v>CSE221 (HP)</v>
      </c>
      <c r="E18" s="8"/>
      <c r="F18" s="8"/>
      <c r="G18" s="8" t="str">
        <f t="shared" si="1"/>
        <v>('CSE221', 'CSE370'),</v>
      </c>
      <c r="H18" s="8"/>
      <c r="I18" s="8"/>
      <c r="J18" s="8"/>
      <c r="K18" s="8"/>
      <c r="L18" s="8"/>
      <c r="M18" s="8"/>
      <c r="N18" s="8"/>
      <c r="O18" s="8"/>
      <c r="P18" s="8"/>
    </row>
    <row r="19">
      <c r="A19" s="6" t="str">
        <f>IFERROR(__xludf.DUMMYFUNCTION("""COMPUTED_VALUE"""),"CSE391")</f>
        <v>CSE391</v>
      </c>
      <c r="B19" s="7" t="str">
        <f>IFERROR(__xludf.DUMMYFUNCTION("""COMPUTED_VALUE"""),"CSE370 (HP)")</f>
        <v>CSE370 (HP)</v>
      </c>
      <c r="C19" s="8" t="str">
        <f>IFERROR(__xludf.DUMMYFUNCTION("""COMPUTED_VALUE"""),"CSE370-CSE221-CSE220-CSE111-CSE110")</f>
        <v>CSE370-CSE221-CSE220-CSE111-CSE110</v>
      </c>
      <c r="D19" s="8" t="str">
        <f>IFERROR(__xludf.DUMMYFUNCTION("""COMPUTED_VALUE"""),"CSE370 (HP)")</f>
        <v>CSE370 (HP)</v>
      </c>
      <c r="E19" s="8"/>
      <c r="F19" s="8"/>
      <c r="G19" s="8" t="str">
        <f t="shared" si="1"/>
        <v>('CSE370', 'CSE391'),</v>
      </c>
      <c r="H19" s="8"/>
      <c r="I19" s="8"/>
      <c r="J19" s="8"/>
      <c r="K19" s="8"/>
      <c r="L19" s="8"/>
      <c r="M19" s="8"/>
      <c r="N19" s="8"/>
      <c r="O19" s="8"/>
      <c r="P19" s="8"/>
    </row>
    <row r="20">
      <c r="A20" s="6" t="str">
        <f>IFERROR(__xludf.DUMMYFUNCTION("""COMPUTED_VALUE"""),"CSE392")</f>
        <v>CSE392</v>
      </c>
      <c r="B20" s="7" t="str">
        <f>IFERROR(__xludf.DUMMYFUNCTION("""COMPUTED_VALUE"""),"MAT215 (HP)")</f>
        <v>MAT215 (HP)</v>
      </c>
      <c r="C20" s="8"/>
      <c r="D20" s="8" t="str">
        <f>IFERROR(__xludf.DUMMYFUNCTION("""COMPUTED_VALUE"""),"MAT215 (HP)")</f>
        <v>MAT215 (HP)</v>
      </c>
      <c r="E20" s="8"/>
      <c r="F20" s="8"/>
      <c r="G20" s="8" t="str">
        <f t="shared" si="1"/>
        <v>('MAT215', 'CSE392'),</v>
      </c>
      <c r="H20" s="8"/>
      <c r="I20" s="8"/>
      <c r="J20" s="8"/>
      <c r="K20" s="8"/>
      <c r="L20" s="8"/>
      <c r="M20" s="8"/>
      <c r="N20" s="8"/>
      <c r="O20" s="8"/>
      <c r="P20" s="8"/>
    </row>
    <row r="21">
      <c r="A21" s="6" t="str">
        <f>IFERROR(__xludf.DUMMYFUNCTION("""COMPUTED_VALUE"""),"CSE410")</f>
        <v>CSE410</v>
      </c>
      <c r="B21" s="7" t="str">
        <f>IFERROR(__xludf.DUMMYFUNCTION("""COMPUTED_VALUE"""),"CSE321 (HP)")</f>
        <v>CSE321 (HP)</v>
      </c>
      <c r="C21" s="8" t="str">
        <f>IFERROR(__xludf.DUMMYFUNCTION("""COMPUTED_VALUE"""),"CSE321-CSE221-CSE220-CSE111-CSE110")</f>
        <v>CSE321-CSE221-CSE220-CSE111-CSE110</v>
      </c>
      <c r="D21" s="8" t="str">
        <f>IFERROR(__xludf.DUMMYFUNCTION("""COMPUTED_VALUE"""),"CSE321 (HP)")</f>
        <v>CSE321 (HP)</v>
      </c>
      <c r="E21" s="8"/>
      <c r="F21" s="8"/>
      <c r="G21" s="8" t="str">
        <f t="shared" si="1"/>
        <v>('CSE321', 'CSE410'),</v>
      </c>
      <c r="H21" s="8"/>
      <c r="I21" s="8"/>
      <c r="J21" s="8"/>
      <c r="K21" s="8"/>
      <c r="L21" s="8"/>
      <c r="M21" s="8"/>
      <c r="N21" s="8"/>
      <c r="O21" s="8"/>
      <c r="P21" s="8"/>
    </row>
    <row r="22">
      <c r="A22" s="6" t="str">
        <f>IFERROR(__xludf.DUMMYFUNCTION("""COMPUTED_VALUE"""),"CSE420")</f>
        <v>CSE420</v>
      </c>
      <c r="B22" s="7" t="str">
        <f>IFERROR(__xludf.DUMMYFUNCTION("""COMPUTED_VALUE"""),"CSE321 (HP),CSE331 (HP),CSE340 (HP)")</f>
        <v>CSE321 (HP),CSE331 (HP),CSE340 (HP)</v>
      </c>
      <c r="C22" s="8" t="str">
        <f>IFERROR(__xludf.DUMMYFUNCTION("""COMPUTED_VALUE"""),"CSE321-CSE331-CSE340-CSE221-CSE220-CSE111-CSE110")</f>
        <v>CSE321-CSE331-CSE340-CSE221-CSE220-CSE111-CSE110</v>
      </c>
      <c r="D22" s="8" t="str">
        <f>IFERROR(__xludf.DUMMYFUNCTION("""COMPUTED_VALUE"""),"CSE321 (HP)")</f>
        <v>CSE321 (HP)</v>
      </c>
      <c r="E22" s="8" t="str">
        <f>IFERROR(__xludf.DUMMYFUNCTION("""COMPUTED_VALUE"""),"CSE331 (HP)")</f>
        <v>CSE331 (HP)</v>
      </c>
      <c r="F22" s="8" t="str">
        <f>IFERROR(__xludf.DUMMYFUNCTION("""COMPUTED_VALUE"""),"CSE340 (HP)")</f>
        <v>CSE340 (HP)</v>
      </c>
      <c r="G22" s="8" t="str">
        <f t="shared" si="1"/>
        <v>('CSE321', 'CSE420'),</v>
      </c>
      <c r="H22" s="8" t="str">
        <f>"('"&amp;LEFT(E22,6)&amp;"', '"&amp;A22&amp;"'),"</f>
        <v>('CSE331', 'CSE420'),</v>
      </c>
      <c r="I22" s="8" t="str">
        <f>"('"&amp;LEFT(F22,6)&amp;"', '"&amp;A22&amp;"'),"</f>
        <v>('CSE340', 'CSE420'),</v>
      </c>
      <c r="J22" s="8"/>
      <c r="K22" s="8"/>
      <c r="L22" s="8"/>
      <c r="M22" s="8"/>
      <c r="N22" s="8"/>
      <c r="O22" s="8"/>
      <c r="P22" s="8"/>
    </row>
    <row r="23">
      <c r="A23" s="6" t="str">
        <f>IFERROR(__xludf.DUMMYFUNCTION("""COMPUTED_VALUE"""),"CSE421")</f>
        <v>CSE421</v>
      </c>
      <c r="B23" s="7" t="str">
        <f>IFERROR(__xludf.DUMMYFUNCTION("""COMPUTED_VALUE"""),"CSE320 (SP)")</f>
        <v>CSE320 (SP)</v>
      </c>
      <c r="C23" s="8"/>
      <c r="D23" s="8" t="str">
        <f>IFERROR(__xludf.DUMMYFUNCTION("""COMPUTED_VALUE"""),"CSE320 (SP)")</f>
        <v>CSE320 (SP)</v>
      </c>
      <c r="E23" s="8"/>
      <c r="F23" s="8"/>
      <c r="G23" s="8" t="str">
        <f t="shared" si="1"/>
        <v>('CSE320', 'CSE421'),</v>
      </c>
      <c r="H23" s="8"/>
      <c r="I23" s="8"/>
      <c r="J23" s="8"/>
      <c r="K23" s="8"/>
      <c r="L23" s="8"/>
      <c r="M23" s="8"/>
      <c r="N23" s="8"/>
      <c r="O23" s="8"/>
      <c r="P23" s="8"/>
    </row>
    <row r="24">
      <c r="A24" s="6" t="str">
        <f>IFERROR(__xludf.DUMMYFUNCTION("""COMPUTED_VALUE"""),"CSE422")</f>
        <v>CSE422</v>
      </c>
      <c r="B24" s="7" t="str">
        <f>IFERROR(__xludf.DUMMYFUNCTION("""COMPUTED_VALUE"""),"CSE221 (HP)")</f>
        <v>CSE221 (HP)</v>
      </c>
      <c r="C24" s="8" t="str">
        <f>IFERROR(__xludf.DUMMYFUNCTION("""COMPUTED_VALUE"""),"CSE221-CSE220-CSE111-CSE110")</f>
        <v>CSE221-CSE220-CSE111-CSE110</v>
      </c>
      <c r="D24" s="8" t="str">
        <f>IFERROR(__xludf.DUMMYFUNCTION("""COMPUTED_VALUE"""),"CSE221 (HP)")</f>
        <v>CSE221 (HP)</v>
      </c>
      <c r="E24" s="8"/>
      <c r="F24" s="8"/>
      <c r="G24" s="8" t="str">
        <f t="shared" si="1"/>
        <v>('CSE221', 'CSE422'),</v>
      </c>
      <c r="H24" s="8"/>
      <c r="I24" s="8"/>
      <c r="J24" s="8"/>
      <c r="K24" s="8"/>
      <c r="L24" s="8"/>
      <c r="M24" s="8"/>
      <c r="N24" s="8"/>
      <c r="O24" s="8"/>
      <c r="P24" s="8"/>
    </row>
    <row r="25">
      <c r="A25" s="6" t="str">
        <f>IFERROR(__xludf.DUMMYFUNCTION("""COMPUTED_VALUE"""),"CSE423")</f>
        <v>CSE423</v>
      </c>
      <c r="B25" s="7" t="str">
        <f>IFERROR(__xludf.DUMMYFUNCTION("""COMPUTED_VALUE"""),"MAT216 (HP)")</f>
        <v>MAT216 (HP)</v>
      </c>
      <c r="C25" s="8" t="str">
        <f>IFERROR(__xludf.DUMMYFUNCTION("""COMPUTED_VALUE"""),"MAT216-MAT120-MAT110")</f>
        <v>MAT216-MAT120-MAT110</v>
      </c>
      <c r="D25" s="8" t="str">
        <f>IFERROR(__xludf.DUMMYFUNCTION("""COMPUTED_VALUE"""),"MAT216 (HP)")</f>
        <v>MAT216 (HP)</v>
      </c>
      <c r="E25" s="8"/>
      <c r="F25" s="8"/>
      <c r="G25" s="8" t="str">
        <f t="shared" si="1"/>
        <v>('MAT216', 'CSE423'),</v>
      </c>
      <c r="H25" s="8"/>
      <c r="I25" s="8"/>
      <c r="J25" s="8"/>
      <c r="K25" s="8"/>
      <c r="L25" s="8"/>
      <c r="M25" s="8"/>
      <c r="N25" s="8"/>
      <c r="O25" s="8"/>
      <c r="P25" s="8"/>
    </row>
    <row r="26">
      <c r="A26" s="6" t="str">
        <f>IFERROR(__xludf.DUMMYFUNCTION("""COMPUTED_VALUE"""),"CSE430")</f>
        <v>CSE430</v>
      </c>
      <c r="B26" s="7" t="str">
        <f>IFERROR(__xludf.DUMMYFUNCTION("""COMPUTED_VALUE"""),"MAT120 (HP)")</f>
        <v>MAT120 (HP)</v>
      </c>
      <c r="C26" s="8" t="str">
        <f>IFERROR(__xludf.DUMMYFUNCTION("""COMPUTED_VALUE"""),"MAT120-MAT110")</f>
        <v>MAT120-MAT110</v>
      </c>
      <c r="D26" s="8" t="str">
        <f>IFERROR(__xludf.DUMMYFUNCTION("""COMPUTED_VALUE"""),"MAT120 (HP)")</f>
        <v>MAT120 (HP)</v>
      </c>
      <c r="E26" s="8"/>
      <c r="F26" s="8"/>
      <c r="G26" s="8" t="str">
        <f t="shared" si="1"/>
        <v>('MAT120', 'CSE430'),</v>
      </c>
      <c r="H26" s="8"/>
      <c r="I26" s="8"/>
      <c r="J26" s="8"/>
      <c r="K26" s="8"/>
      <c r="L26" s="8"/>
      <c r="M26" s="8"/>
      <c r="N26" s="8"/>
      <c r="O26" s="8"/>
      <c r="P26" s="8"/>
    </row>
    <row r="27">
      <c r="A27" s="6" t="str">
        <f>IFERROR(__xludf.DUMMYFUNCTION("""COMPUTED_VALUE"""),"CSE460")</f>
        <v>CSE460</v>
      </c>
      <c r="B27" s="7" t="str">
        <f>IFERROR(__xludf.DUMMYFUNCTION("""COMPUTED_VALUE"""),"CSE260 (HP)")</f>
        <v>CSE260 (HP)</v>
      </c>
      <c r="C27" s="8" t="str">
        <f>IFERROR(__xludf.DUMMYFUNCTION("""COMPUTED_VALUE"""),"CSE260-CSE251-CSE250")</f>
        <v>CSE260-CSE251-CSE250</v>
      </c>
      <c r="D27" s="8" t="str">
        <f>IFERROR(__xludf.DUMMYFUNCTION("""COMPUTED_VALUE"""),"CSE260 (HP)")</f>
        <v>CSE260 (HP)</v>
      </c>
      <c r="E27" s="8"/>
      <c r="F27" s="8"/>
      <c r="G27" s="8" t="str">
        <f t="shared" si="1"/>
        <v>('CSE260', 'CSE460'),</v>
      </c>
      <c r="H27" s="8"/>
      <c r="I27" s="8"/>
      <c r="J27" s="8"/>
      <c r="K27" s="8"/>
      <c r="L27" s="8"/>
      <c r="M27" s="8"/>
      <c r="N27" s="8"/>
      <c r="O27" s="8"/>
      <c r="P27" s="8"/>
    </row>
    <row r="28">
      <c r="A28" s="6" t="str">
        <f>IFERROR(__xludf.DUMMYFUNCTION("""COMPUTED_VALUE"""),"CSE461")</f>
        <v>CSE461</v>
      </c>
      <c r="B28" s="7" t="str">
        <f>IFERROR(__xludf.DUMMYFUNCTION("""COMPUTED_VALUE"""),"CSE260 (HP)")</f>
        <v>CSE260 (HP)</v>
      </c>
      <c r="C28" s="8" t="str">
        <f>IFERROR(__xludf.DUMMYFUNCTION("""COMPUTED_VALUE"""),"CSE260-CSE251-CSE250")</f>
        <v>CSE260-CSE251-CSE250</v>
      </c>
      <c r="D28" s="8" t="str">
        <f>IFERROR(__xludf.DUMMYFUNCTION("""COMPUTED_VALUE"""),"CSE260 (HP)")</f>
        <v>CSE260 (HP)</v>
      </c>
      <c r="E28" s="8"/>
      <c r="F28" s="8"/>
      <c r="G28" s="8" t="str">
        <f t="shared" si="1"/>
        <v>('CSE260', 'CSE461'),</v>
      </c>
      <c r="H28" s="8"/>
      <c r="I28" s="8"/>
      <c r="J28" s="8"/>
      <c r="K28" s="8"/>
      <c r="L28" s="8"/>
      <c r="M28" s="8"/>
      <c r="N28" s="8"/>
      <c r="O28" s="8"/>
      <c r="P28" s="8"/>
    </row>
    <row r="29">
      <c r="A29" s="6" t="str">
        <f>IFERROR(__xludf.DUMMYFUNCTION("""COMPUTED_VALUE"""),"CSE470")</f>
        <v>CSE470</v>
      </c>
      <c r="B29" s="7" t="str">
        <f>IFERROR(__xludf.DUMMYFUNCTION("""COMPUTED_VALUE"""),"CSE370 (HP)")</f>
        <v>CSE370 (HP)</v>
      </c>
      <c r="C29" s="8" t="str">
        <f>IFERROR(__xludf.DUMMYFUNCTION("""COMPUTED_VALUE"""),"CSE370-CSE221-CSE220-CSE111-CSE110")</f>
        <v>CSE370-CSE221-CSE220-CSE111-CSE110</v>
      </c>
      <c r="D29" s="8" t="str">
        <f>IFERROR(__xludf.DUMMYFUNCTION("""COMPUTED_VALUE"""),"CSE370 (HP)")</f>
        <v>CSE370 (HP)</v>
      </c>
      <c r="E29" s="8"/>
      <c r="F29" s="8"/>
      <c r="G29" s="8" t="str">
        <f t="shared" si="1"/>
        <v>('CSE370', 'CSE470'),</v>
      </c>
      <c r="H29" s="8"/>
      <c r="I29" s="8"/>
      <c r="J29" s="8"/>
      <c r="K29" s="8"/>
      <c r="L29" s="8"/>
      <c r="M29" s="8"/>
      <c r="N29" s="8"/>
      <c r="O29" s="8"/>
      <c r="P29" s="8"/>
    </row>
    <row r="30">
      <c r="A30" s="6" t="str">
        <f>IFERROR(__xludf.DUMMYFUNCTION("""COMPUTED_VALUE"""),"CSE471")</f>
        <v>CSE471</v>
      </c>
      <c r="B30" s="7" t="str">
        <f>IFERROR(__xludf.DUMMYFUNCTION("""COMPUTED_VALUE"""),"CSE370 (HP)")</f>
        <v>CSE370 (HP)</v>
      </c>
      <c r="C30" s="8" t="str">
        <f>IFERROR(__xludf.DUMMYFUNCTION("""COMPUTED_VALUE"""),"CSE370-CSE221-CSE220-CSE111-CSE110")</f>
        <v>CSE370-CSE221-CSE220-CSE111-CSE110</v>
      </c>
      <c r="D30" s="8" t="str">
        <f>IFERROR(__xludf.DUMMYFUNCTION("""COMPUTED_VALUE"""),"CSE370 (HP)")</f>
        <v>CSE370 (HP)</v>
      </c>
      <c r="E30" s="8"/>
      <c r="F30" s="8"/>
      <c r="G30" s="8" t="str">
        <f t="shared" si="1"/>
        <v>('CSE370', 'CSE471'),</v>
      </c>
      <c r="H30" s="8"/>
      <c r="I30" s="8"/>
      <c r="J30" s="8"/>
      <c r="K30" s="8"/>
      <c r="L30" s="8"/>
      <c r="M30" s="8"/>
      <c r="N30" s="8"/>
      <c r="O30" s="8"/>
      <c r="P30" s="8"/>
    </row>
    <row r="31">
      <c r="A31" s="6" t="str">
        <f>IFERROR(__xludf.DUMMYFUNCTION("""COMPUTED_VALUE"""),"CSE489")</f>
        <v>CSE489</v>
      </c>
      <c r="B31" s="7" t="str">
        <f>IFERROR(__xludf.DUMMYFUNCTION("""COMPUTED_VALUE"""),"CSE370 (HP)")</f>
        <v>CSE370 (HP)</v>
      </c>
      <c r="C31" s="8" t="str">
        <f>IFERROR(__xludf.DUMMYFUNCTION("""COMPUTED_VALUE"""),"CSE370-CSE221-CSE220-CSE111-CSE110")</f>
        <v>CSE370-CSE221-CSE220-CSE111-CSE110</v>
      </c>
      <c r="D31" s="8" t="str">
        <f>IFERROR(__xludf.DUMMYFUNCTION("""COMPUTED_VALUE"""),"CSE370 (HP)")</f>
        <v>CSE370 (HP)</v>
      </c>
      <c r="E31" s="8"/>
      <c r="F31" s="8"/>
      <c r="G31" s="8" t="str">
        <f t="shared" si="1"/>
        <v>('CSE370', 'CSE489'),</v>
      </c>
      <c r="H31" s="8"/>
      <c r="I31" s="8"/>
      <c r="J31" s="8"/>
      <c r="K31" s="8"/>
      <c r="L31" s="8"/>
      <c r="M31" s="8"/>
      <c r="N31" s="8"/>
      <c r="O31" s="8"/>
      <c r="P31" s="8"/>
    </row>
    <row r="32">
      <c r="A32" s="6" t="str">
        <f>IFERROR(__xludf.DUMMYFUNCTION("""COMPUTED_VALUE"""),"ENG102")</f>
        <v>ENG102</v>
      </c>
      <c r="B32" s="7" t="str">
        <f>IFERROR(__xludf.DUMMYFUNCTION("""COMPUTED_VALUE"""),"ENG101 (HP)")</f>
        <v>ENG101 (HP)</v>
      </c>
      <c r="C32" s="8" t="str">
        <f>IFERROR(__xludf.DUMMYFUNCTION("""COMPUTED_VALUE"""),"ENG101")</f>
        <v>ENG101</v>
      </c>
      <c r="D32" s="8" t="str">
        <f>IFERROR(__xludf.DUMMYFUNCTION("""COMPUTED_VALUE"""),"ENG101 (HP)")</f>
        <v>ENG101 (HP)</v>
      </c>
      <c r="E32" s="8"/>
      <c r="F32" s="8"/>
      <c r="G32" s="8" t="str">
        <f t="shared" si="1"/>
        <v>('ENG101', 'ENG102'),</v>
      </c>
      <c r="H32" s="8"/>
      <c r="I32" s="8"/>
      <c r="J32" s="8"/>
      <c r="K32" s="8"/>
      <c r="L32" s="8"/>
      <c r="M32" s="8"/>
      <c r="N32" s="8"/>
      <c r="O32" s="8"/>
      <c r="P32" s="8"/>
    </row>
    <row r="33">
      <c r="A33" s="6" t="str">
        <f>IFERROR(__xludf.DUMMYFUNCTION("""COMPUTED_VALUE"""),"ENG103")</f>
        <v>ENG103</v>
      </c>
      <c r="B33" s="7" t="str">
        <f>IFERROR(__xludf.DUMMYFUNCTION("""COMPUTED_VALUE"""),"ENG102 (HP)")</f>
        <v>ENG102 (HP)</v>
      </c>
      <c r="C33" s="8" t="str">
        <f>IFERROR(__xludf.DUMMYFUNCTION("""COMPUTED_VALUE"""),"ENG102")</f>
        <v>ENG102</v>
      </c>
      <c r="D33" s="8" t="str">
        <f>IFERROR(__xludf.DUMMYFUNCTION("""COMPUTED_VALUE"""),"ENG102 (HP)")</f>
        <v>ENG102 (HP)</v>
      </c>
      <c r="E33" s="8"/>
      <c r="F33" s="8"/>
      <c r="G33" s="8" t="str">
        <f t="shared" si="1"/>
        <v>('ENG102', 'ENG103'),</v>
      </c>
      <c r="H33" s="8"/>
      <c r="I33" s="8"/>
      <c r="J33" s="8"/>
      <c r="K33" s="8"/>
      <c r="L33" s="8"/>
      <c r="M33" s="8"/>
      <c r="N33" s="8"/>
      <c r="O33" s="8"/>
      <c r="P33" s="8"/>
    </row>
    <row r="34">
      <c r="A34" s="6" t="str">
        <f>IFERROR(__xludf.DUMMYFUNCTION("""COMPUTED_VALUE"""),"MAT120")</f>
        <v>MAT120</v>
      </c>
      <c r="B34" s="7" t="str">
        <f>IFERROR(__xludf.DUMMYFUNCTION("""COMPUTED_VALUE"""),"MAT110 (HP)")</f>
        <v>MAT110 (HP)</v>
      </c>
      <c r="C34" s="8" t="str">
        <f>IFERROR(__xludf.DUMMYFUNCTION("""COMPUTED_VALUE"""),"MAT110")</f>
        <v>MAT110</v>
      </c>
      <c r="D34" s="8" t="str">
        <f>IFERROR(__xludf.DUMMYFUNCTION("""COMPUTED_VALUE"""),"MAT110 (HP)")</f>
        <v>MAT110 (HP)</v>
      </c>
      <c r="E34" s="8"/>
      <c r="F34" s="8"/>
      <c r="G34" s="8" t="str">
        <f t="shared" si="1"/>
        <v>('MAT110', 'MAT120'),</v>
      </c>
      <c r="H34" s="8"/>
      <c r="I34" s="8"/>
      <c r="J34" s="8"/>
      <c r="K34" s="8"/>
      <c r="L34" s="8"/>
      <c r="M34" s="8"/>
      <c r="N34" s="8"/>
      <c r="O34" s="8"/>
      <c r="P34" s="8"/>
    </row>
    <row r="35">
      <c r="A35" s="6" t="str">
        <f>IFERROR(__xludf.DUMMYFUNCTION("""COMPUTED_VALUE"""),"MAT215")</f>
        <v>MAT215</v>
      </c>
      <c r="B35" s="7" t="str">
        <f>IFERROR(__xludf.DUMMYFUNCTION("""COMPUTED_VALUE"""),"MAT216 (HP)")</f>
        <v>MAT216 (HP)</v>
      </c>
      <c r="C35" s="8" t="str">
        <f>IFERROR(__xludf.DUMMYFUNCTION("""COMPUTED_VALUE"""),"MAT216-MAT120-MAT110")</f>
        <v>MAT216-MAT120-MAT110</v>
      </c>
      <c r="D35" s="8" t="str">
        <f>IFERROR(__xludf.DUMMYFUNCTION("""COMPUTED_VALUE"""),"MAT216 (HP)")</f>
        <v>MAT216 (HP)</v>
      </c>
      <c r="E35" s="8"/>
      <c r="F35" s="8"/>
      <c r="G35" s="8" t="str">
        <f t="shared" si="1"/>
        <v>('MAT216', 'MAT215'),</v>
      </c>
      <c r="H35" s="8"/>
      <c r="I35" s="8"/>
      <c r="J35" s="8"/>
      <c r="K35" s="8"/>
      <c r="L35" s="8"/>
      <c r="M35" s="8"/>
      <c r="N35" s="8"/>
      <c r="O35" s="8"/>
      <c r="P35" s="8"/>
    </row>
    <row r="36">
      <c r="A36" s="6" t="str">
        <f>IFERROR(__xludf.DUMMYFUNCTION("""COMPUTED_VALUE"""),"MAT216")</f>
        <v>MAT216</v>
      </c>
      <c r="B36" s="7" t="str">
        <f>IFERROR(__xludf.DUMMYFUNCTION("""COMPUTED_VALUE"""),"MAT120 (HP)")</f>
        <v>MAT120 (HP)</v>
      </c>
      <c r="C36" s="8" t="str">
        <f>IFERROR(__xludf.DUMMYFUNCTION("""COMPUTED_VALUE"""),"MAT120-MAT110")</f>
        <v>MAT120-MAT110</v>
      </c>
      <c r="D36" s="8" t="str">
        <f>IFERROR(__xludf.DUMMYFUNCTION("""COMPUTED_VALUE"""),"MAT120 (HP)")</f>
        <v>MAT120 (HP)</v>
      </c>
      <c r="E36" s="8"/>
      <c r="F36" s="8"/>
      <c r="G36" s="8" t="str">
        <f t="shared" si="1"/>
        <v>('MAT120', 'MAT216'),</v>
      </c>
      <c r="H36" s="8"/>
      <c r="I36" s="8"/>
      <c r="J36" s="8"/>
      <c r="K36" s="8"/>
      <c r="L36" s="8"/>
      <c r="M36" s="8"/>
      <c r="N36" s="8"/>
      <c r="O36" s="8"/>
      <c r="P36" s="8"/>
    </row>
    <row r="37">
      <c r="A37" s="6" t="str">
        <f>IFERROR(__xludf.DUMMYFUNCTION("""COMPUTED_VALUE"""),"PHY112")</f>
        <v>PHY112</v>
      </c>
      <c r="B37" s="7" t="str">
        <f>IFERROR(__xludf.DUMMYFUNCTION("""COMPUTED_VALUE"""),"PHY111 (HP)")</f>
        <v>PHY111 (HP)</v>
      </c>
      <c r="C37" s="8" t="str">
        <f>IFERROR(__xludf.DUMMYFUNCTION("""COMPUTED_VALUE"""),"PHY111")</f>
        <v>PHY111</v>
      </c>
      <c r="D37" s="8" t="str">
        <f>IFERROR(__xludf.DUMMYFUNCTION("""COMPUTED_VALUE"""),"PHY111 (HP)")</f>
        <v>PHY111 (HP)</v>
      </c>
      <c r="E37" s="8"/>
      <c r="F37" s="8"/>
      <c r="G37" s="8" t="str">
        <f t="shared" si="1"/>
        <v>('PHY111', 'PHY112'),</v>
      </c>
      <c r="H37" s="8"/>
      <c r="I37" s="8"/>
      <c r="J37" s="8"/>
      <c r="K37" s="8"/>
      <c r="L37" s="8"/>
      <c r="M37" s="8"/>
      <c r="N37" s="8"/>
      <c r="O37" s="8"/>
      <c r="P37" s="8"/>
    </row>
    <row r="38">
      <c r="A38" s="6"/>
      <c r="B38" s="7"/>
      <c r="C38" s="8"/>
      <c r="D38" s="8" t="str">
        <f>IFERROR(__xludf.DUMMYFUNCTION("""COMPUTED_VALUE"""),"#VALUE!")</f>
        <v>#VALUE!</v>
      </c>
      <c r="E38" s="8"/>
      <c r="F38" s="8"/>
      <c r="G38" s="8" t="s">
        <v>5</v>
      </c>
      <c r="H38" s="8"/>
      <c r="I38" s="8"/>
      <c r="J38" s="8"/>
      <c r="K38" s="8"/>
      <c r="L38" s="8"/>
      <c r="M38" s="8"/>
      <c r="N38" s="8"/>
      <c r="O38" s="8"/>
      <c r="P38" s="8"/>
    </row>
    <row r="39">
      <c r="A39" s="6"/>
      <c r="B39" s="7"/>
      <c r="C39" s="8"/>
      <c r="D39" s="8" t="str">
        <f>IFERROR(__xludf.DUMMYFUNCTION("""COMPUTED_VALUE"""),"#VALUE!")</f>
        <v>#VALUE!</v>
      </c>
      <c r="E39" s="8"/>
      <c r="F39" s="8"/>
      <c r="G39" s="8" t="s">
        <v>6</v>
      </c>
      <c r="H39" s="8"/>
      <c r="I39" s="8"/>
      <c r="J39" s="8"/>
      <c r="K39" s="8"/>
      <c r="L39" s="8"/>
      <c r="M39" s="8"/>
      <c r="N39" s="8"/>
      <c r="O39" s="8"/>
      <c r="P39" s="8"/>
    </row>
    <row r="40">
      <c r="A40" s="6"/>
      <c r="B40" s="7"/>
      <c r="C40" s="8"/>
      <c r="D40" s="8" t="str">
        <f>IFERROR(__xludf.DUMMYFUNCTION("""COMPUTED_VALUE"""),"#VALUE!")</f>
        <v>#VALUE!</v>
      </c>
      <c r="E40" s="8"/>
      <c r="F40" s="8"/>
      <c r="G40" s="8" t="s">
        <v>7</v>
      </c>
      <c r="H40" s="8"/>
      <c r="I40" s="8"/>
      <c r="J40" s="8"/>
      <c r="K40" s="8"/>
      <c r="L40" s="8"/>
      <c r="M40" s="8"/>
      <c r="N40" s="8"/>
      <c r="O40" s="8"/>
      <c r="P40" s="8"/>
    </row>
    <row r="41">
      <c r="A41" s="6"/>
      <c r="B41" s="7"/>
      <c r="C41" s="8"/>
      <c r="D41" s="8" t="str">
        <f>IFERROR(__xludf.DUMMYFUNCTION("""COMPUTED_VALUE"""),"#VALUE!")</f>
        <v>#VALUE!</v>
      </c>
      <c r="E41" s="8"/>
      <c r="F41" s="8"/>
      <c r="G41" s="8" t="s">
        <v>8</v>
      </c>
      <c r="H41" s="8"/>
      <c r="I41" s="8"/>
      <c r="J41" s="8"/>
      <c r="K41" s="8"/>
      <c r="L41" s="8"/>
      <c r="M41" s="8"/>
      <c r="N41" s="8"/>
      <c r="O41" s="8"/>
      <c r="P41" s="8"/>
    </row>
    <row r="42">
      <c r="A42" s="6"/>
      <c r="B42" s="7"/>
      <c r="C42" s="8"/>
      <c r="D42" s="8" t="str">
        <f>IFERROR(__xludf.DUMMYFUNCTION("""COMPUTED_VALUE"""),"#VALUE!")</f>
        <v>#VALUE!</v>
      </c>
      <c r="E42" s="8"/>
      <c r="F42" s="8"/>
      <c r="G42" s="8" t="s">
        <v>9</v>
      </c>
      <c r="H42" s="8"/>
      <c r="I42" s="8"/>
      <c r="J42" s="8"/>
      <c r="K42" s="8"/>
      <c r="L42" s="8"/>
      <c r="M42" s="8"/>
      <c r="N42" s="8"/>
      <c r="O42" s="8"/>
      <c r="P42" s="8"/>
    </row>
    <row r="43">
      <c r="A43" s="6"/>
      <c r="B43" s="7"/>
      <c r="C43" s="8"/>
      <c r="D43" s="8" t="str">
        <f>IFERROR(__xludf.DUMMYFUNCTION("""COMPUTED_VALUE"""),"#VALUE!")</f>
        <v>#VALUE!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>
      <c r="A44" s="6"/>
      <c r="B44" s="7"/>
      <c r="C44" s="8"/>
      <c r="D44" s="8" t="str">
        <f>IFERROR(__xludf.DUMMYFUNCTION("""COMPUTED_VALUE"""),"#VALUE!")</f>
        <v>#VALUE!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>
      <c r="A45" s="6"/>
      <c r="B45" s="7"/>
      <c r="C45" s="8"/>
      <c r="D45" s="8" t="str">
        <f>IFERROR(__xludf.DUMMYFUNCTION("""COMPUTED_VALUE"""),"#VALUE!")</f>
        <v>#VALUE!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>
      <c r="A46" s="6"/>
      <c r="B46" s="7"/>
      <c r="C46" s="8"/>
      <c r="D46" s="8" t="str">
        <f>IFERROR(__xludf.DUMMYFUNCTION("""COMPUTED_VALUE"""),"#VALUE!")</f>
        <v>#VALUE!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>
      <c r="A47" s="6"/>
      <c r="B47" s="7"/>
      <c r="C47" s="8"/>
      <c r="D47" s="8" t="str">
        <f>IFERROR(__xludf.DUMMYFUNCTION("""COMPUTED_VALUE"""),"#VALUE!")</f>
        <v>#VALUE!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>
      <c r="A48" s="6"/>
      <c r="B48" s="7"/>
      <c r="C48" s="8"/>
      <c r="D48" s="8" t="str">
        <f>IFERROR(__xludf.DUMMYFUNCTION("""COMPUTED_VALUE"""),"#VALUE!")</f>
        <v>#VALUE!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>
      <c r="A49" s="6"/>
      <c r="B49" s="7"/>
      <c r="C49" s="8"/>
      <c r="D49" s="8" t="str">
        <f>IFERROR(__xludf.DUMMYFUNCTION("""COMPUTED_VALUE"""),"#VALUE!")</f>
        <v>#VALUE!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>
      <c r="A50" s="6"/>
      <c r="B50" s="7"/>
      <c r="C50" s="8"/>
      <c r="D50" s="8" t="str">
        <f>IFERROR(__xludf.DUMMYFUNCTION("""COMPUTED_VALUE"""),"#VALUE!")</f>
        <v>#VALUE!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</sheetData>
  <mergeCells count="2">
    <mergeCell ref="A1:C1"/>
    <mergeCell ref="A2:C2"/>
  </mergeCells>
  <conditionalFormatting sqref="B1:B50">
    <cfRule type="containsText" dxfId="4" priority="1" operator="containsText" text="(HP)">
      <formula>NOT(ISERROR(SEARCH(("(HP)"),(B1))))</formula>
    </cfRule>
  </conditionalFormatting>
  <conditionalFormatting sqref="B1:B50">
    <cfRule type="containsText" dxfId="5" priority="2" operator="containsText" text="(SP)">
      <formula>NOT(ISERROR(SEARCH(("(SP)"),(B1))))</formula>
    </cfRule>
  </conditionalFormatting>
  <hyperlinks>
    <hyperlink display="For Program: CSE&#10;Click here to view CS" location="CS!A1:C1" ref="A1"/>
  </hyperlink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32.13"/>
    <col customWidth="1" min="3" max="3" width="33.88"/>
  </cols>
  <sheetData>
    <row r="1">
      <c r="A1" s="1" t="s">
        <v>10</v>
      </c>
    </row>
    <row r="2">
      <c r="A2" s="3" t="s">
        <v>11</v>
      </c>
    </row>
    <row r="3">
      <c r="A3" s="4" t="s">
        <v>2</v>
      </c>
      <c r="B3" s="4" t="s">
        <v>3</v>
      </c>
      <c r="C3" s="5" t="s">
        <v>4</v>
      </c>
    </row>
    <row r="4">
      <c r="A4" s="6" t="str">
        <f>IFERROR(__xludf.DUMMYFUNCTION("QUERY(IMPORTRANGE(""https://docs.google.com/spreadsheets/d/1YzJFTHL2U2BrsJhQB2C2RTjDJnKiE8VtPxLvUUQCofA/edit#gid=0"",""PreReqMeta!A3:G""),""SELECT Col1, Col6, Col7 WHERE Col6 IS NOT NULL"",0)"),"CSE111")</f>
        <v>CSE111</v>
      </c>
      <c r="B4" s="7" t="str">
        <f>IFERROR(__xludf.DUMMYFUNCTION("""COMPUTED_VALUE"""),"CSE110 (HP)")</f>
        <v>CSE110 (HP)</v>
      </c>
      <c r="C4" s="8"/>
    </row>
    <row r="5">
      <c r="A5" s="6" t="str">
        <f>IFERROR(__xludf.DUMMYFUNCTION("""COMPUTED_VALUE"""),"CSE220")</f>
        <v>CSE220</v>
      </c>
      <c r="B5" s="7" t="str">
        <f>IFERROR(__xludf.DUMMYFUNCTION("""COMPUTED_VALUE"""),"CSE111 (HP),CSE230 (HP)")</f>
        <v>CSE111 (HP),CSE230 (HP)</v>
      </c>
      <c r="C5" s="8" t="str">
        <f>IFERROR(__xludf.DUMMYFUNCTION("""COMPUTED_VALUE"""),"CSE230-CSE111-CSE110")</f>
        <v>CSE230-CSE111-CSE110</v>
      </c>
    </row>
    <row r="6">
      <c r="A6" s="6" t="str">
        <f>IFERROR(__xludf.DUMMYFUNCTION("""COMPUTED_VALUE"""),"CSE221")</f>
        <v>CSE221</v>
      </c>
      <c r="B6" s="7" t="str">
        <f>IFERROR(__xludf.DUMMYFUNCTION("""COMPUTED_VALUE"""),"CSE220 (HP)")</f>
        <v>CSE220 (HP)</v>
      </c>
      <c r="C6" s="8" t="str">
        <f>IFERROR(__xludf.DUMMYFUNCTION("""COMPUTED_VALUE"""),"CSE220-CSE111-CSE110")</f>
        <v>CSE220-CSE111-CSE110</v>
      </c>
    </row>
    <row r="7">
      <c r="A7" s="6" t="str">
        <f>IFERROR(__xludf.DUMMYFUNCTION("""COMPUTED_VALUE"""),"CSE310")</f>
        <v>CSE310</v>
      </c>
      <c r="B7" s="7" t="str">
        <f>IFERROR(__xludf.DUMMYFUNCTION("""COMPUTED_VALUE"""),"CSE370 (HP)")</f>
        <v>CSE370 (HP)</v>
      </c>
      <c r="C7" s="8" t="str">
        <f>IFERROR(__xludf.DUMMYFUNCTION("""COMPUTED_VALUE"""),"CSE370-CSE221-CSE220-CSE111-CSE110")</f>
        <v>CSE370-CSE221-CSE220-CSE111-CSE110</v>
      </c>
    </row>
    <row r="8">
      <c r="A8" s="6" t="str">
        <f>IFERROR(__xludf.DUMMYFUNCTION("""COMPUTED_VALUE"""),"CSE321")</f>
        <v>CSE321</v>
      </c>
      <c r="B8" s="7" t="str">
        <f>IFERROR(__xludf.DUMMYFUNCTION("""COMPUTED_VALUE"""),"CSE221 (HP)")</f>
        <v>CSE221 (HP)</v>
      </c>
      <c r="C8" s="8" t="str">
        <f>IFERROR(__xludf.DUMMYFUNCTION("""COMPUTED_VALUE"""),"CSE221-CSE220-CSE111-CSE110")</f>
        <v>CSE221-CSE220-CSE111-CSE110</v>
      </c>
    </row>
    <row r="9">
      <c r="A9" s="6" t="str">
        <f>IFERROR(__xludf.DUMMYFUNCTION("""COMPUTED_VALUE"""),"CSE330")</f>
        <v>CSE330</v>
      </c>
      <c r="B9" s="7" t="str">
        <f>IFERROR(__xludf.DUMMYFUNCTION("""COMPUTED_VALUE"""),"MAT216 (HP)")</f>
        <v>MAT216 (HP)</v>
      </c>
      <c r="C9" s="8" t="str">
        <f>IFERROR(__xludf.DUMMYFUNCTION("""COMPUTED_VALUE"""),"MAT120-MAT110")</f>
        <v>MAT120-MAT110</v>
      </c>
    </row>
    <row r="10">
      <c r="A10" s="6" t="str">
        <f>IFERROR(__xludf.DUMMYFUNCTION("""COMPUTED_VALUE"""),"CSE331")</f>
        <v>CSE331</v>
      </c>
      <c r="B10" s="7" t="str">
        <f>IFERROR(__xludf.DUMMYFUNCTION("""COMPUTED_VALUE"""),"CSE221 (HP)")</f>
        <v>CSE221 (HP)</v>
      </c>
      <c r="C10" s="8" t="str">
        <f>IFERROR(__xludf.DUMMYFUNCTION("""COMPUTED_VALUE"""),"CSE221-CSE220-CSE111-CSE110")</f>
        <v>CSE221-CSE220-CSE111-CSE110</v>
      </c>
    </row>
    <row r="11">
      <c r="A11" s="6" t="str">
        <f>IFERROR(__xludf.DUMMYFUNCTION("""COMPUTED_VALUE"""),"CSE340")</f>
        <v>CSE340</v>
      </c>
      <c r="B11" s="7" t="str">
        <f>IFERROR(__xludf.DUMMYFUNCTION("""COMPUTED_VALUE"""),"CSE260 (HP)")</f>
        <v>CSE260 (HP)</v>
      </c>
      <c r="C11" s="8"/>
    </row>
    <row r="12">
      <c r="A12" s="6" t="str">
        <f>IFERROR(__xludf.DUMMYFUNCTION("""COMPUTED_VALUE"""),"CSE370")</f>
        <v>CSE370</v>
      </c>
      <c r="B12" s="7" t="str">
        <f>IFERROR(__xludf.DUMMYFUNCTION("""COMPUTED_VALUE"""),"CSE221 (HP)")</f>
        <v>CSE221 (HP)</v>
      </c>
      <c r="C12" s="8" t="str">
        <f>IFERROR(__xludf.DUMMYFUNCTION("""COMPUTED_VALUE"""),"CSE221-CSE220-CSE111-CSE110")</f>
        <v>CSE221-CSE220-CSE111-CSE110</v>
      </c>
    </row>
    <row r="13">
      <c r="A13" s="6" t="str">
        <f>IFERROR(__xludf.DUMMYFUNCTION("""COMPUTED_VALUE"""),"CSE391")</f>
        <v>CSE391</v>
      </c>
      <c r="B13" s="7" t="str">
        <f>IFERROR(__xludf.DUMMYFUNCTION("""COMPUTED_VALUE"""),"CSE370 (HP)")</f>
        <v>CSE370 (HP)</v>
      </c>
      <c r="C13" s="8" t="str">
        <f>IFERROR(__xludf.DUMMYFUNCTION("""COMPUTED_VALUE"""),"CSE370-CSE221-CSE220-CSE111-CSE110")</f>
        <v>CSE370-CSE221-CSE220-CSE111-CSE110</v>
      </c>
    </row>
    <row r="14">
      <c r="A14" s="6" t="str">
        <f>IFERROR(__xludf.DUMMYFUNCTION("""COMPUTED_VALUE"""),"CSE392")</f>
        <v>CSE392</v>
      </c>
      <c r="B14" s="7" t="str">
        <f>IFERROR(__xludf.DUMMYFUNCTION("""COMPUTED_VALUE"""),"MAT215 (HP)")</f>
        <v>MAT215 (HP)</v>
      </c>
      <c r="C14" s="8"/>
    </row>
    <row r="15">
      <c r="A15" s="6" t="str">
        <f>IFERROR(__xludf.DUMMYFUNCTION("""COMPUTED_VALUE"""),"CSE410")</f>
        <v>CSE410</v>
      </c>
      <c r="B15" s="7" t="str">
        <f>IFERROR(__xludf.DUMMYFUNCTION("""COMPUTED_VALUE"""),"CSE321 (HP)")</f>
        <v>CSE321 (HP)</v>
      </c>
      <c r="C15" s="8" t="str">
        <f>IFERROR(__xludf.DUMMYFUNCTION("""COMPUTED_VALUE"""),"CSE321-CSE221-CSE220-CSE111-CSE110")</f>
        <v>CSE321-CSE221-CSE220-CSE111-CSE110</v>
      </c>
    </row>
    <row r="16">
      <c r="A16" s="6" t="str">
        <f>IFERROR(__xludf.DUMMYFUNCTION("""COMPUTED_VALUE"""),"CSE420")</f>
        <v>CSE420</v>
      </c>
      <c r="B16" s="7" t="str">
        <f>IFERROR(__xludf.DUMMYFUNCTION("""COMPUTED_VALUE"""),"CSE321 (HP),CSE331 (HP),CSE340 (HP)")</f>
        <v>CSE321 (HP),CSE331 (HP),CSE340 (HP)</v>
      </c>
      <c r="C16" s="8" t="str">
        <f>IFERROR(__xludf.DUMMYFUNCTION("""COMPUTED_VALUE"""),"CSE321-CSE331-CSE340-CSE221-CSE220-CSE111-CSE110")</f>
        <v>CSE321-CSE331-CSE340-CSE221-CSE220-CSE111-CSE110</v>
      </c>
    </row>
    <row r="17">
      <c r="A17" s="6" t="str">
        <f>IFERROR(__xludf.DUMMYFUNCTION("""COMPUTED_VALUE"""),"CSE422")</f>
        <v>CSE422</v>
      </c>
      <c r="B17" s="7" t="str">
        <f>IFERROR(__xludf.DUMMYFUNCTION("""COMPUTED_VALUE"""),"CSE221 (HP)")</f>
        <v>CSE221 (HP)</v>
      </c>
      <c r="C17" s="8" t="str">
        <f>IFERROR(__xludf.DUMMYFUNCTION("""COMPUTED_VALUE"""),"CSE221-CSE220-CSE111-CSE110")</f>
        <v>CSE221-CSE220-CSE111-CSE110</v>
      </c>
    </row>
    <row r="18">
      <c r="A18" s="6" t="str">
        <f>IFERROR(__xludf.DUMMYFUNCTION("""COMPUTED_VALUE"""),"CSE423")</f>
        <v>CSE423</v>
      </c>
      <c r="B18" s="7" t="str">
        <f>IFERROR(__xludf.DUMMYFUNCTION("""COMPUTED_VALUE"""),"MAT216 (HP)")</f>
        <v>MAT216 (HP)</v>
      </c>
      <c r="C18" s="8" t="str">
        <f>IFERROR(__xludf.DUMMYFUNCTION("""COMPUTED_VALUE"""),"MAT216-MAT120-MAT110")</f>
        <v>MAT216-MAT120-MAT110</v>
      </c>
    </row>
    <row r="19">
      <c r="A19" s="6" t="str">
        <f>IFERROR(__xludf.DUMMYFUNCTION("""COMPUTED_VALUE"""),"CSE430")</f>
        <v>CSE430</v>
      </c>
      <c r="B19" s="7" t="str">
        <f>IFERROR(__xludf.DUMMYFUNCTION("""COMPUTED_VALUE"""),"MAT120 (HP)")</f>
        <v>MAT120 (HP)</v>
      </c>
      <c r="C19" s="8" t="str">
        <f>IFERROR(__xludf.DUMMYFUNCTION("""COMPUTED_VALUE"""),"MAT120-MAT110")</f>
        <v>MAT120-MAT110</v>
      </c>
    </row>
    <row r="20">
      <c r="A20" s="6" t="str">
        <f>IFERROR(__xludf.DUMMYFUNCTION("""COMPUTED_VALUE"""),"CSE470")</f>
        <v>CSE470</v>
      </c>
      <c r="B20" s="7" t="str">
        <f>IFERROR(__xludf.DUMMYFUNCTION("""COMPUTED_VALUE"""),"CSE370 (HP)")</f>
        <v>CSE370 (HP)</v>
      </c>
      <c r="C20" s="8" t="str">
        <f>IFERROR(__xludf.DUMMYFUNCTION("""COMPUTED_VALUE"""),"CSE370-CSE221-CSE220-CSE111-CSE110")</f>
        <v>CSE370-CSE221-CSE220-CSE111-CSE110</v>
      </c>
    </row>
    <row r="21">
      <c r="A21" s="6" t="str">
        <f>IFERROR(__xludf.DUMMYFUNCTION("""COMPUTED_VALUE"""),"CSE489")</f>
        <v>CSE489</v>
      </c>
      <c r="B21" s="7" t="str">
        <f>IFERROR(__xludf.DUMMYFUNCTION("""COMPUTED_VALUE"""),"CSE370 (HP)")</f>
        <v>CSE370 (HP)</v>
      </c>
      <c r="C21" s="8" t="str">
        <f>IFERROR(__xludf.DUMMYFUNCTION("""COMPUTED_VALUE"""),"CSE370-CSE221-CSE220-CSE111-CSE110")</f>
        <v>CSE370-CSE221-CSE220-CSE111-CSE110</v>
      </c>
    </row>
    <row r="22">
      <c r="A22" s="6" t="str">
        <f>IFERROR(__xludf.DUMMYFUNCTION("""COMPUTED_VALUE"""),"ENG102")</f>
        <v>ENG102</v>
      </c>
      <c r="B22" s="7" t="str">
        <f>IFERROR(__xludf.DUMMYFUNCTION("""COMPUTED_VALUE"""),"ENG101 (HP)")</f>
        <v>ENG101 (HP)</v>
      </c>
      <c r="C22" s="8" t="str">
        <f>IFERROR(__xludf.DUMMYFUNCTION("""COMPUTED_VALUE"""),"ENG101")</f>
        <v>ENG101</v>
      </c>
    </row>
    <row r="23">
      <c r="A23" s="6" t="str">
        <f>IFERROR(__xludf.DUMMYFUNCTION("""COMPUTED_VALUE"""),"ENG103")</f>
        <v>ENG103</v>
      </c>
      <c r="B23" s="7" t="str">
        <f>IFERROR(__xludf.DUMMYFUNCTION("""COMPUTED_VALUE"""),"ENG102 (HP)")</f>
        <v>ENG102 (HP)</v>
      </c>
      <c r="C23" s="8" t="str">
        <f>IFERROR(__xludf.DUMMYFUNCTION("""COMPUTED_VALUE"""),"ENG102")</f>
        <v>ENG102</v>
      </c>
    </row>
    <row r="24">
      <c r="A24" s="6" t="str">
        <f>IFERROR(__xludf.DUMMYFUNCTION("""COMPUTED_VALUE"""),"MAT120")</f>
        <v>MAT120</v>
      </c>
      <c r="B24" s="7" t="str">
        <f>IFERROR(__xludf.DUMMYFUNCTION("""COMPUTED_VALUE"""),"MAT110 (HP)")</f>
        <v>MAT110 (HP)</v>
      </c>
      <c r="C24" s="8" t="str">
        <f>IFERROR(__xludf.DUMMYFUNCTION("""COMPUTED_VALUE"""),"MAT110")</f>
        <v>MAT110</v>
      </c>
    </row>
    <row r="25">
      <c r="A25" s="6" t="str">
        <f>IFERROR(__xludf.DUMMYFUNCTION("""COMPUTED_VALUE"""),"MAT215")</f>
        <v>MAT215</v>
      </c>
      <c r="B25" s="7" t="str">
        <f>IFERROR(__xludf.DUMMYFUNCTION("""COMPUTED_VALUE"""),"MAT216 (HP)")</f>
        <v>MAT216 (HP)</v>
      </c>
      <c r="C25" s="8" t="str">
        <f>IFERROR(__xludf.DUMMYFUNCTION("""COMPUTED_VALUE"""),"MAT216-MAT120-MAT110")</f>
        <v>MAT216-MAT120-MAT110</v>
      </c>
    </row>
    <row r="26">
      <c r="A26" s="6" t="str">
        <f>IFERROR(__xludf.DUMMYFUNCTION("""COMPUTED_VALUE"""),"MAT216")</f>
        <v>MAT216</v>
      </c>
      <c r="B26" s="7" t="str">
        <f>IFERROR(__xludf.DUMMYFUNCTION("""COMPUTED_VALUE"""),"MAT120 (HP)")</f>
        <v>MAT120 (HP)</v>
      </c>
      <c r="C26" s="8" t="str">
        <f>IFERROR(__xludf.DUMMYFUNCTION("""COMPUTED_VALUE"""),"MAT120-MAT110")</f>
        <v>MAT120-MAT110</v>
      </c>
    </row>
    <row r="27">
      <c r="A27" s="6" t="str">
        <f>IFERROR(__xludf.DUMMYFUNCTION("""COMPUTED_VALUE"""),"PHY112")</f>
        <v>PHY112</v>
      </c>
      <c r="B27" s="7" t="str">
        <f>IFERROR(__xludf.DUMMYFUNCTION("""COMPUTED_VALUE"""),"PHY111 (HP)")</f>
        <v>PHY111 (HP)</v>
      </c>
      <c r="C27" s="8" t="str">
        <f>IFERROR(__xludf.DUMMYFUNCTION("""COMPUTED_VALUE"""),"PHY111")</f>
        <v>PHY111</v>
      </c>
    </row>
    <row r="28">
      <c r="A28" s="6"/>
      <c r="B28" s="7"/>
      <c r="C28" s="8"/>
    </row>
    <row r="29">
      <c r="A29" s="6"/>
      <c r="B29" s="7"/>
      <c r="C29" s="8"/>
    </row>
  </sheetData>
  <mergeCells count="2">
    <mergeCell ref="A1:C1"/>
    <mergeCell ref="A2:C2"/>
  </mergeCells>
  <conditionalFormatting sqref="B1:B29">
    <cfRule type="containsText" dxfId="4" priority="1" operator="containsText" text="(HP)">
      <formula>NOT(ISERROR(SEARCH(("(HP)"),(B1))))</formula>
    </cfRule>
  </conditionalFormatting>
  <conditionalFormatting sqref="B1:B29">
    <cfRule type="containsText" dxfId="5" priority="2" operator="containsText" text="(SP)">
      <formula>NOT(ISERROR(SEARCH(("(SP)"),(B1))))</formula>
    </cfRule>
  </conditionalFormatting>
  <hyperlinks>
    <hyperlink display="For Program: CS&#10;Click here to view CSE" location="CSE!A1:C1" ref="A1"/>
  </hyperlinks>
  <drawing r:id="rId1"/>
  <tableParts count="1">
    <tablePart r:id="rId3"/>
  </tableParts>
</worksheet>
</file>